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ab171b683041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" sheetId="1" r:id="Re3efb4e1d2b142e4"/>
    <x:sheet xmlns:r="http://schemas.openxmlformats.org/officeDocument/2006/relationships" name="구매 정보" sheetId="2" r:id="Re61636c962774335"/>
    <x:sheet xmlns:r="http://schemas.openxmlformats.org/officeDocument/2006/relationships" name="설계 조건" sheetId="3" r:id="Rf6834153d5c8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sz val="11"/>
      <x:color rgb="FF202A35"/>
      <x:name val="Arial"/>
    </x:font>
    <x:font>
      <x:b/>
      <x:sz val="17"/>
      <x:color rgb="FF172B45"/>
      <x:name val="Arial"/>
    </x:font>
    <x:font>
      <x:i/>
      <x:sz val="10"/>
      <x:color rgb="FF556575"/>
      <x:name val="Arial"/>
    </x:font>
    <x:font>
      <x:b/>
      <x:sz val="11"/>
      <x:color rgb="FFFFFFFF"/>
      <x:name val="Arial"/>
    </x:font>
    <x:font>
      <x:sz val="11"/>
      <x:color rgb="FF66717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1CC"/>
      </x:patternFill>
    </x:fill>
    <x:fill>
      <x:patternFill patternType="solid">
        <x:fgColor rgb="FF283F58"/>
      </x:patternFill>
    </x:fill>
    <x:fill>
      <x:patternFill patternType="solid">
        <x:fgColor rgb="FFF1F4F7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3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right" vertical="center" wrapText="1"/>
    </x:xf>
    <x:xf numFmtId="200" fontId="1" fillId="4" borderId="0" xfId="0" applyNumberFormat="1" applyFont="1" applyFill="1" applyBorder="1" applyAlignment="1">
      <x:alignment horizontal="right"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200" fontId="5" fillId="4" borderId="0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13b5bedcf24d67" /><Relationship Type="http://schemas.openxmlformats.org/officeDocument/2006/relationships/theme" Target="/xl/theme/theme1.xml" Id="Ref158d29383f483d" /><Relationship Type="http://schemas.openxmlformats.org/officeDocument/2006/relationships/sharedStrings" Target="/xl/sharedStrings.xml" Id="R05fff6944bc64de3" /><Relationship Type="http://schemas.openxmlformats.org/officeDocument/2006/relationships/worksheet" Target="/xl/worksheets/sheet1.xml" Id="Re3efb4e1d2b142e4" /><Relationship Type="http://schemas.openxmlformats.org/officeDocument/2006/relationships/worksheet" Target="/xl/worksheets/sheet2.xml" Id="Re61636c962774335" /><Relationship Type="http://schemas.openxmlformats.org/officeDocument/2006/relationships/worksheet" Target="/xl/worksheets/sheet3.xml" Id="Rf6834153d5c845cd" /></Relationships>
</file>

<file path=xl/tables/table1.xml><?xml version="1.0" encoding="utf-8"?>
<x:table xmlns:x="http://schemas.openxmlformats.org/spreadsheetml/2006/main" id="1" name="PartsBOM" displayName="PartsBOM" ref="A6:I39" headerRowCount="1" totalsRowCount="0" totalsRowShown="0">
  <x:tableColumns count="9">
    <x:tableColumn id="1" name="번호"/>
    <x:tableColumn id="2" name="회로기호"/>
    <x:tableColumn id="3" name="역할"/>
    <x:tableColumn id="4" name="부품 / 값 / 주요 규격"/>
    <x:tableColumn id="5" name="패키지"/>
    <x:tableColumn id="6" name="개 / 대"/>
    <x:tableColumn id="7" name="총수량"/>
    <x:tableColumn id="8" name="조립"/>
    <x:tableColumn id="9" name="선정 메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curementSources" displayName="ProcurementSources" ref="A4:G37" headerRowCount="1" totalsRowCount="0" totalsRowShown="0">
  <x:tableColumns count="7">
    <x:tableColumn id="1" name="번호"/>
    <x:tableColumn id="2" name="부품 / 값"/>
    <x:tableColumn id="3" name="제조사"/>
    <x:tableColumn id="4" name="부품 코드"/>
    <x:tableColumn id="5" name="조달 확인 범위"/>
    <x:tableColumn id="6" name="제품 / 조달 URL"/>
    <x:tableColumn id="7" name="설계 근거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189276bb2d04f9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32b8d63863b46a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6" hidden="0" customWidth="1"/>
    <x:col min="2" max="2" width="19" hidden="0" customWidth="1"/>
    <x:col min="3" max="3" width="25" hidden="0" customWidth="1"/>
    <x:col min="4" max="4" width="40" hidden="0" customWidth="1"/>
    <x:col min="5" max="5" width="28" hidden="0" customWidth="1"/>
    <x:col min="6" max="6" width="9" hidden="0" customWidth="1"/>
    <x:col min="7" max="7" width="10" hidden="0" customWidth="1"/>
    <x:col min="8" max="8" width="23" hidden="0" customWidth="1"/>
    <x:col min="9" max="9" width="62" hidden="0" customWidth="1"/>
  </x:cols>
  <x:sheetData>
    <x:row r="1" ht="30" customHeight="1">
      <x:c r="A1" s="5" t="str">
        <x:v>ESP32-H2 AA·USB Zigbee IR 노드 BOM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7" t="str">
        <x:v>2026-09-18 / A — 설계 초안 / 제조 주문용 아님</x:v>
      </x:c>
      <x:c r="B2" s="3"/>
      <x:c r="C2" s="3"/>
      <x:c r="D2" s="3"/>
      <x:c r="E2" s="3"/>
      <x:c r="F2" s="3"/>
      <x:c r="G2" s="3"/>
      <x:c r="H2" s="3"/>
      <x:c r="I2" s="3"/>
    </x:row>
    <x:row r="3">
      <x:c r="A3" s="6" t="str">
        <x:v>수량</x:v>
      </x:c>
      <x:c r="B3" s="9" t="n">
        <x:v>1</x:v>
      </x:c>
      <x:c r="C3" s="3" t="str">
        <x:v>대</x:v>
      </x:c>
      <x:c r="D3" s="6" t="str">
        <x:v>B3 변경 시 총수량 자동 계산</x:v>
      </x:c>
      <x:c r="E3" s="3"/>
      <x:c r="F3" s="3"/>
      <x:c r="G3" s="3"/>
      <x:c r="H3" s="3"/>
      <x:c r="I3" s="3"/>
    </x:row>
    <x:row r="4">
      <x:c r="A4" s="6" t="str">
        <x:v>설계용 후보 목록. 회로도·정확한 주문번호·PCB 검토 후 제조 BOM으로 확정해야 합니다.</x:v>
      </x:c>
      <x:c r="B4" s="3"/>
      <x:c r="C4" s="3"/>
      <x:c r="D4" s="3"/>
      <x:c r="E4" s="3"/>
      <x:c r="F4" s="3"/>
      <x:c r="G4" s="3"/>
      <x:c r="H4" s="3"/>
      <x:c r="I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</x:row>
    <x:row r="6" ht="30" customHeight="1">
      <x:c r="A6" s="13" t="str">
        <x:v>번호</x:v>
      </x:c>
      <x:c r="B6" s="14" t="str">
        <x:v>회로기호</x:v>
      </x:c>
      <x:c r="C6" s="14" t="str">
        <x:v>역할</x:v>
      </x:c>
      <x:c r="D6" s="14" t="str">
        <x:v>부품 / 값 / 주요 규격</x:v>
      </x:c>
      <x:c r="E6" s="14" t="str">
        <x:v>패키지</x:v>
      </x:c>
      <x:c r="F6" s="14" t="str">
        <x:v>개 / 대</x:v>
      </x:c>
      <x:c r="G6" s="14" t="str">
        <x:v>총수량</x:v>
      </x:c>
      <x:c r="H6" s="14" t="str">
        <x:v>조립</x:v>
      </x:c>
      <x:c r="I6" s="15" t="str">
        <x:v>선정 메모</x:v>
      </x:c>
    </x:row>
    <x:row r="7" ht="64" customHeight="1">
      <x:c r="A7" s="3" t="n">
        <x:v>1</x:v>
      </x:c>
      <x:c r="B7" s="3" t="str">
        <x:v>U1</x:v>
      </x:c>
      <x:c r="C7" s="3" t="str">
        <x:v>Zigbee MCU 모듈</x:v>
      </x:c>
      <x:c r="D7" s="3" t="str">
        <x:v>ESP32-H2-MINI-1-H4S
4 MB flash / PCB 안테나 / 3.3 V</x:v>
      </x:c>
      <x:c r="E7" s="3" t="str">
        <x:v>SMD 16.6 × 13.2 mm</x:v>
      </x:c>
      <x:c r="F7" s="19" t="n">
        <x:v>1</x:v>
      </x:c>
      <x:c r="G7" s="19" t="n">
        <x:f>F7*$B$3</x:f>
        <x:v>1</x:v>
      </x:c>
      <x:c r="H7" s="3" t="str">
        <x:v>JLC SMT</x:v>
      </x:c>
      <x:c r="I7" s="3" t="str">
        <x:v>Standard PCBA 전용, X-ray 필수. SuperMini 보드와 다름.</x:v>
      </x:c>
    </x:row>
    <x:row r="8" ht="64" customHeight="1">
      <x:c r="A8" s="16" t="n">
        <x:v>2</x:v>
      </x:c>
      <x:c r="B8" s="16" t="str">
        <x:v>U2</x:v>
      </x:c>
      <x:c r="C8" s="16" t="str">
        <x:v>USB·AA 전원 선택</x:v>
      </x:c>
      <x:c r="D8" s="16" t="str">
        <x:v>TPS2116DRLR
1.6–5.5 V 입력 / 역류 차단</x:v>
      </x:c>
      <x:c r="E8" s="16" t="str">
        <x:v>SOT-583 / DRL-8</x:v>
      </x:c>
      <x:c r="F8" s="20" t="n">
        <x:v>1</x:v>
      </x:c>
      <x:c r="G8" s="20" t="n">
        <x:f>F8*$B$3</x:f>
        <x:v>1</x:v>
      </x:c>
      <x:c r="H8" s="16" t="str">
        <x:v>JLC SMT</x:v>
      </x:c>
      <x:c r="I8" s="16" t="str">
        <x:v>VIN1=USB, VIN2=역극성 보호된 AA. MODE=VIN1. 충전 기능 없음.</x:v>
      </x:c>
    </x:row>
    <x:row r="9" ht="64" customHeight="1">
      <x:c r="A9" s="3" t="n">
        <x:v>3</x:v>
      </x:c>
      <x:c r="B9" s="3" t="str">
        <x:v>U3</x:v>
      </x:c>
      <x:c r="C9" s="3" t="str">
        <x:v>3.3 V 승강압</x:v>
      </x:c>
      <x:c r="D9" s="3" t="str">
        <x:v>TPS63802DLAR
시동 입력 &gt;1.8 V / PFM 사용</x:v>
      </x:c>
      <x:c r="E9" s="3" t="str">
        <x:v>VSON-HR-10 2 × 3 mm</x:v>
      </x:c>
      <x:c r="F9" s="19" t="n">
        <x:v>1</x:v>
      </x:c>
      <x:c r="G9" s="19" t="n">
        <x:f>F9*$B$3</x:f>
        <x:v>1</x:v>
      </x:c>
      <x:c r="H9" s="3" t="str">
        <x:v>JLC SMT</x:v>
      </x:c>
      <x:c r="I9" s="3" t="str">
        <x:v>MODE=GND. H2와 IR 모두 3.3 V 공급. 최저가 부품이라는 의미 아님.</x:v>
      </x:c>
    </x:row>
    <x:row r="10" ht="64" customHeight="1">
      <x:c r="A10" s="16" t="n">
        <x:v>4</x:v>
      </x:c>
      <x:c r="B10" s="16" t="str">
        <x:v>L1</x:v>
      </x:c>
      <x:c r="C10" s="16" t="str">
        <x:v>승강압 인덕터</x:v>
      </x:c>
      <x:c r="D10" s="16" t="str">
        <x:v>XFL4015-471MEC
0.47 µH ±20% / 차폐형</x:v>
      </x:c>
      <x:c r="E10" s="16" t="str">
        <x:v>4 × 4 mm 계열</x:v>
      </x:c>
      <x:c r="F10" s="20" t="n">
        <x:v>1</x:v>
      </x:c>
      <x:c r="G10" s="20" t="n">
        <x:f>F10*$B$3</x:f>
        <x:v>1</x:v>
      </x:c>
      <x:c r="H10" s="16" t="str">
        <x:v>조달 확인 후 SMT</x:v>
      </x:c>
      <x:c r="I10" s="16" t="str">
        <x:v>TI 권장 인덕터 계열. 정확한 높이·패드 및 공급 가능 여부 확인.</x:v>
      </x:c>
    </x:row>
    <x:row r="11" ht="64" customHeight="1">
      <x:c r="A11" s="3" t="n">
        <x:v>5</x:v>
      </x:c>
      <x:c r="B11" s="3" t="str">
        <x:v>Q1</x:v>
      </x:c>
      <x:c r="C11" s="3" t="str">
        <x:v>IR LED 스위칭</x:v>
      </x:c>
      <x:c r="D11" s="3" t="str">
        <x:v>AO3400A
N-MOSFET / VGS=2.5 V에서 RDS(on) 규정</x:v>
      </x:c>
      <x:c r="E11" s="3" t="str">
        <x:v>SOT-23</x:v>
      </x:c>
      <x:c r="F11" s="19" t="n">
        <x:v>1</x:v>
      </x:c>
      <x:c r="G11" s="19" t="n">
        <x:f>F11*$B$3</x:f>
        <x:v>1</x:v>
      </x:c>
      <x:c r="H11" s="3" t="str">
        <x:v>JLC SMT</x:v>
      </x:c>
      <x:c r="I11" s="3" t="str">
        <x:v>Gate=1, Source=2, Drain=3. G/D/S는 실제 제조사 데이터시트와 대조.</x:v>
      </x:c>
    </x:row>
    <x:row r="12" ht="64" customHeight="1">
      <x:c r="A12" s="16" t="n">
        <x:v>6</x:v>
      </x:c>
      <x:c r="B12" s="16" t="str">
        <x:v>Q2</x:v>
      </x:c>
      <x:c r="C12" s="16" t="str">
        <x:v>AA 역극성 보호</x:v>
      </x:c>
      <x:c r="D12" s="16" t="str">
        <x:v>DMP2035U-7
P-MOSFET / |VGS|=1.8 V에서 RDS(on) 규정</x:v>
      </x:c>
      <x:c r="E12" s="16" t="str">
        <x:v>SOT-23</x:v>
      </x:c>
      <x:c r="F12" s="20" t="n">
        <x:v>1</x:v>
      </x:c>
      <x:c r="G12" s="20" t="n">
        <x:f>F12*$B$3</x:f>
        <x:v>1</x:v>
      </x:c>
      <x:c r="H12" s="16" t="str">
        <x:v>JLC SMT</x:v>
      </x:c>
      <x:c r="I12" s="16" t="str">
        <x:v>AO3400A와 역할·극성이 다름. USB 역류는 별도 U2가 차단.</x:v>
      </x:c>
    </x:row>
    <x:row r="13" ht="64" customHeight="1">
      <x:c r="A13" s="3" t="n">
        <x:v>7</x:v>
      </x:c>
      <x:c r="B13" s="3" t="str">
        <x:v>D1</x:v>
      </x:c>
      <x:c r="C13" s="3" t="str">
        <x:v>적외선 송신 LED</x:v>
      </x:c>
      <x:c r="D13" s="3" t="str">
        <x:v>TSAL6200
940 nm / 5 mm / 반치각 ±17°</x:v>
      </x:c>
      <x:c r="E13" s="3" t="str">
        <x:v>THT 5 mm</x:v>
      </x:c>
      <x:c r="F13" s="19" t="n">
        <x:v>1</x:v>
      </x:c>
      <x:c r="G13" s="19" t="n">
        <x:f>F13*$B$3</x:f>
        <x:v>1</x:v>
      </x:c>
      <x:c r="H13" s="3" t="str">
        <x:v>직접 납땜 권장</x:v>
      </x:c>
      <x:c r="I13" s="3" t="str">
        <x:v>JLC wave soldering은 지그 필요 표시. 1개 방향성 송신, 전방위 아님.</x:v>
      </x:c>
    </x:row>
    <x:row r="14" ht="64" customHeight="1">
      <x:c r="A14" s="16" t="n">
        <x:v>8</x:v>
      </x:c>
      <x:c r="B14" s="16" t="str">
        <x:v>J1</x:v>
      </x:c>
      <x:c r="C14" s="16" t="str">
        <x:v>USB-C 전원·다운로드</x:v>
      </x:c>
      <x:c r="D14" s="16" t="str">
        <x:v>TYPE-C-31-M-12
USB 2.0 데이터 지원 / 16핀</x:v>
      </x:c>
      <x:c r="E14" s="16" t="str">
        <x:v>제조사 전용 풋프린트</x:v>
      </x:c>
      <x:c r="F14" s="20" t="n">
        <x:v>1</x:v>
      </x:c>
      <x:c r="G14" s="20" t="n">
        <x:f>F14*$B$3</x:f>
        <x:v>1</x:v>
      </x:c>
      <x:c r="H14" s="16" t="str">
        <x:v>JLC 실장 방식 확인</x:v>
      </x:c>
      <x:c r="I14" s="16" t="str">
        <x:v>전원 전용 6핀 커넥터로 대체 불가. 셸 고정탭·기판 두께 확인.</x:v>
      </x:c>
    </x:row>
    <x:row r="15" ht="64" customHeight="1">
      <x:c r="A15" s="3" t="n">
        <x:v>9</x:v>
      </x:c>
      <x:c r="B15" s="3" t="str">
        <x:v>U4, U5</x:v>
      </x:c>
      <x:c r="C15" s="3" t="str">
        <x:v>USB 신호 ESD 보호</x:v>
      </x:c>
      <x:c r="D15" s="3" t="str">
        <x:v>TPD2EUSB30DRTR
2채널 저용량 ESD ×2</x:v>
      </x:c>
      <x:c r="E15" s="3" t="str">
        <x:v>DRT-3 / SOT-9X3</x:v>
      </x:c>
      <x:c r="F15" s="19" t="n">
        <x:v>2</x:v>
      </x:c>
      <x:c r="G15" s="19" t="n">
        <x:f>F15*$B$3</x:f>
        <x:v>2</x:v>
      </x:c>
      <x:c r="H15" s="3" t="str">
        <x:v>JLC SMT</x:v>
      </x:c>
      <x:c r="I15" s="3" t="str">
        <x:v>U4=D+/D−, U5=CC1/CC2. VBUS 지속 과전압 보호용이 아님.</x:v>
      </x:c>
    </x:row>
    <x:row r="16" ht="64" customHeight="1">
      <x:c r="A16" s="16" t="n">
        <x:v>10</x:v>
      </x:c>
      <x:c r="B16" s="16" t="str">
        <x:v>F1</x:v>
      </x:c>
      <x:c r="C16" s="16" t="str">
        <x:v>USB 과전류 보호</x:v>
      </x:c>
      <x:c r="D16" s="16" t="str">
        <x:v>규격 선정: PPTC
Ihold 0.5 A / Vmax ≥6 V</x:v>
      </x:c>
      <x:c r="E16" s="16" t="str">
        <x:v>1206 후보</x:v>
      </x:c>
      <x:c r="F16" s="20" t="n">
        <x:v>1</x:v>
      </x:c>
      <x:c r="G16" s="20" t="n">
        <x:f>F16*$B$3</x:f>
        <x:v>1</x:v>
      </x:c>
      <x:c r="H16" s="16" t="str">
        <x:v>SMT 후보</x:v>
      </x:c>
      <x:c r="I16" s="16" t="str">
        <x:v>전류 제한 IC와 다름. 정상 시 최대 저항·전압 강하 및 시동 전류 검토.</x:v>
      </x:c>
    </x:row>
    <x:row r="17" ht="64" customHeight="1">
      <x:c r="A17" s="3" t="n">
        <x:v>11</x:v>
      </x:c>
      <x:c r="B17" s="3" t="str">
        <x:v>F2</x:v>
      </x:c>
      <x:c r="C17" s="3" t="str">
        <x:v>AA 단락 보호</x:v>
      </x:c>
      <x:c r="D17" s="3" t="str">
        <x:v>규격 선정: PPTC
Ihold 1 A / Vmax ≥6 V / 저저항</x:v>
      </x:c>
      <x:c r="E17" s="3" t="str">
        <x:v>1206 또는 1812 후보</x:v>
      </x:c>
      <x:c r="F17" s="19" t="n">
        <x:v>1</x:v>
      </x:c>
      <x:c r="G17" s="19" t="n">
        <x:f>F17*$B$3</x:f>
        <x:v>1</x:v>
      </x:c>
      <x:c r="H17" s="3" t="str">
        <x:v>SMT 후보</x:v>
      </x:c>
      <x:c r="I17" s="3" t="str">
        <x:v>배터리 양극 가까이. 2 V 입력의 부하 펄스·배터리 단락 특성으로 최종 선정.</x:v>
      </x:c>
    </x:row>
    <x:row r="18" ht="64" customHeight="1">
      <x:c r="A18" s="16" t="n">
        <x:v>12</x:v>
      </x:c>
      <x:c r="B18" s="16" t="str">
        <x:v>BT1</x:v>
      </x:c>
      <x:c r="C18" s="16" t="str">
        <x:v>AA 2개 홀더</x:v>
      </x:c>
      <x:c r="D18" s="16" t="str">
        <x:v>2462
AA 2개 직렬 / PC mount</x:v>
      </x:c>
      <x:c r="E18" s="16" t="str">
        <x:v>THT 전용 풋프린트</x:v>
      </x:c>
      <x:c r="F18" s="20" t="n">
        <x:v>1</x:v>
      </x:c>
      <x:c r="G18" s="20" t="n">
        <x:f>F18*$B$3</x:f>
        <x:v>1</x:v>
      </x:c>
      <x:c r="H18" s="16" t="str">
        <x:v>직접 납땜 권장</x:v>
      </x:c>
      <x:c r="I18" s="16" t="str">
        <x:v>케이스 크기 확정 전 후보. 저가 리드선 홀더 대체 시 기구·극성 재검토.</x:v>
      </x:c>
    </x:row>
    <x:row r="19" ht="64" customHeight="1">
      <x:c r="A19" s="3" t="n">
        <x:v>13</x:v>
      </x:c>
      <x:c r="B19" s="3" t="str">
        <x:v>BAT1, BAT2</x:v>
      </x:c>
      <x:c r="C19" s="3" t="str">
        <x:v>전원 셀</x:v>
      </x:c>
      <x:c r="D19" s="3" t="str">
        <x:v>LR6 알카라인 AA 1.5 V
새 건전지 2개 직렬</x:v>
      </x:c>
      <x:c r="E19" s="3" t="str">
        <x:v>AA</x:v>
      </x:c>
      <x:c r="F19" s="19" t="n">
        <x:v>2</x:v>
      </x:c>
      <x:c r="G19" s="19" t="n">
        <x:f>F19*$B$3</x:f>
        <x:v>2</x:v>
      </x:c>
      <x:c r="H19" s="3" t="str">
        <x:v>별도 구매</x:v>
      </x:c>
      <x:c r="I19" s="3" t="str">
        <x:v>비충전식. 14500 리튬이온 셀 사용 금지. 새것·헌것 혼합 금지.</x:v>
      </x:c>
    </x:row>
    <x:row r="20" ht="64" customHeight="1">
      <x:c r="A20" s="16" t="n">
        <x:v>14</x:v>
      </x:c>
      <x:c r="B20" s="16" t="str">
        <x:v>SW1</x:v>
      </x:c>
      <x:c r="C20" s="16" t="str">
        <x:v>배터리 전원 차단</x:v>
      </x:c>
      <x:c r="D20" s="16" t="str">
        <x:v>규격 선정: SPST/SPDT 슬라이드
접점 ≥1 A @5 V DC</x:v>
      </x:c>
      <x:c r="E20" s="16" t="str">
        <x:v>기구 확정 후 선정</x:v>
      </x:c>
      <x:c r="F20" s="20" t="n">
        <x:v>1</x:v>
      </x:c>
      <x:c r="G20" s="20" t="n">
        <x:f>F20*$B$3</x:f>
        <x:v>1</x:v>
      </x:c>
      <x:c r="H20" s="16" t="str">
        <x:v>직접 납땜 또는 SMT</x:v>
      </x:c>
      <x:c r="I20" s="16" t="str">
        <x:v>배터리 양극 경로만 차단. OFF여도 USB 연결 시 장치는 켜짐.</x:v>
      </x:c>
    </x:row>
    <x:row r="21" ht="64" customHeight="1">
      <x:c r="A21" s="3" t="n">
        <x:v>15</x:v>
      </x:c>
      <x:c r="B21" s="3" t="str">
        <x:v>SW2, SW3</x:v>
      </x:c>
      <x:c r="C21" s="3" t="str">
        <x:v>BOOT·RESET 버튼</x:v>
      </x:c>
      <x:c r="D21" s="3" t="str">
        <x:v>규격 선정: 순간동작 NO 택트
SPST-NO / 신호용</x:v>
      </x:c>
      <x:c r="E21" s="3" t="str">
        <x:v>SMD 4핀 후보</x:v>
      </x:c>
      <x:c r="F21" s="19" t="n">
        <x:v>2</x:v>
      </x:c>
      <x:c r="G21" s="19" t="n">
        <x:f>F21*$B$3</x:f>
        <x:v>2</x:v>
      </x:c>
      <x:c r="H21" s="3" t="str">
        <x:v>SMT 후보</x:v>
      </x:c>
      <x:c r="I21" s="3" t="str">
        <x:v>SW2=GPIO9→GND, SW3=EN→GND. 4핀 버튼의 내부 연결 확인.</x:v>
      </x:c>
    </x:row>
    <x:row r="22" ht="64" customHeight="1">
      <x:c r="A22" s="16" t="n">
        <x:v>16</x:v>
      </x:c>
      <x:c r="B22" s="16" t="str">
        <x:v>R1, R2</x:v>
      </x:c>
      <x:c r="C22" s="16" t="str">
        <x:v>USB-C CC 풀다운</x:v>
      </x:c>
      <x:c r="D22" s="16" t="str">
        <x:v>5.1 kΩ ±1%
≥0.1 W</x:v>
      </x:c>
      <x:c r="E22" s="16" t="str">
        <x:v>0603 (1608 metric)</x:v>
      </x:c>
      <x:c r="F22" s="20" t="n">
        <x:v>2</x:v>
      </x:c>
      <x:c r="G22" s="20" t="n">
        <x:f>F22*$B$3</x:f>
        <x:v>2</x:v>
      </x:c>
      <x:c r="H22" s="16" t="str">
        <x:v>SMT</x:v>
      </x:c>
      <x:c r="I22" s="16" t="str">
        <x:v>CC1과 CC2에 각각 하나. 두 CC 핀을 서로 묶지 않음.</x:v>
      </x:c>
    </x:row>
    <x:row r="23" ht="64" customHeight="1">
      <x:c r="A23" s="3" t="n">
        <x:v>17</x:v>
      </x:c>
      <x:c r="B23" s="3" t="str">
        <x:v>R3, R4</x:v>
      </x:c>
      <x:c r="C23" s="3" t="str">
        <x:v>USB 데이터 직렬 저항</x:v>
      </x:c>
      <x:c r="D23" s="3" t="str">
        <x:v>22 Ω ±1%
≥0.1 W / 최초 후보값</x:v>
      </x:c>
      <x:c r="E23" s="3" t="str">
        <x:v>0603 (inch)</x:v>
      </x:c>
      <x:c r="F23" s="19" t="n">
        <x:v>2</x:v>
      </x:c>
      <x:c r="G23" s="19" t="n">
        <x:f>F23*$B$3</x:f>
        <x:v>2</x:v>
      </x:c>
      <x:c r="H23" s="3" t="str">
        <x:v>SMT</x:v>
      </x:c>
      <x:c r="I23" s="3" t="str">
        <x:v>D−=GPIO26, D+=GPIO27. 실제 USB 파형에 따라 0/22/33 Ω 재검토.</x:v>
      </x:c>
    </x:row>
    <x:row r="24" ht="64" customHeight="1">
      <x:c r="A24" s="16" t="n">
        <x:v>18</x:v>
      </x:c>
      <x:c r="B24" s="16" t="str">
        <x:v>R5, R6, R7</x:v>
      </x:c>
      <x:c r="C24" s="16" t="str">
        <x:v>EN·BOOT 스트랩 풀업</x:v>
      </x:c>
      <x:c r="D24" s="16" t="str">
        <x:v>10 kΩ ±1%
≥0.1 W</x:v>
      </x:c>
      <x:c r="E24" s="16" t="str">
        <x:v>0603 (inch)</x:v>
      </x:c>
      <x:c r="F24" s="20" t="n">
        <x:v>3</x:v>
      </x:c>
      <x:c r="G24" s="20" t="n">
        <x:f>F24*$B$3</x:f>
        <x:v>3</x:v>
      </x:c>
      <x:c r="H24" s="16" t="str">
        <x:v>SMT</x:v>
      </x:c>
      <x:c r="I24" s="16" t="str">
        <x:v>EN, GPIO9, GPIO8을 각각 3.3 V로 풀업. 다운로드 시 GPIO8 HIGH 유지.</x:v>
      </x:c>
    </x:row>
    <x:row r="25" ht="64" customHeight="1">
      <x:c r="A25" s="3" t="n">
        <x:v>19</x:v>
      </x:c>
      <x:c r="B25" s="3" t="str">
        <x:v>R8</x:v>
      </x:c>
      <x:c r="C25" s="3" t="str">
        <x:v>USB 우선 임계 분압 상단</x:v>
      </x:c>
      <x:c r="D25" s="3" t="str">
        <x:v>300 kΩ ±1%
≥0.1 W</x:v>
      </x:c>
      <x:c r="E25" s="3" t="str">
        <x:v>0603 (inch)</x:v>
      </x:c>
      <x:c r="F25" s="19" t="n">
        <x:v>1</x:v>
      </x:c>
      <x:c r="G25" s="19" t="n">
        <x:f>F25*$B$3</x:f>
        <x:v>1</x:v>
      </x:c>
      <x:c r="H25" s="3" t="str">
        <x:v>SMT</x:v>
      </x:c>
      <x:c r="I25" s="3" t="str">
        <x:v>USB VIN1→PR1. R9와 함께 공칭 4.0 V 전환; 비교기 허용오차 포함 검증.</x:v>
      </x:c>
    </x:row>
    <x:row r="26" ht="64" customHeight="1">
      <x:c r="A26" s="16" t="n">
        <x:v>20</x:v>
      </x:c>
      <x:c r="B26" s="16" t="str">
        <x:v>R9, R14</x:v>
      </x:c>
      <x:c r="C26" s="16" t="str">
        <x:v>전원 선택·역극성 보호 저항</x:v>
      </x:c>
      <x:c r="D26" s="16" t="str">
        <x:v>100 kΩ ±1%
≥0.1 W</x:v>
      </x:c>
      <x:c r="E26" s="16" t="str">
        <x:v>0603 (inch)</x:v>
      </x:c>
      <x:c r="F26" s="20" t="n">
        <x:v>2</x:v>
      </x:c>
      <x:c r="G26" s="20" t="n">
        <x:f>F26*$B$3</x:f>
        <x:v>2</x:v>
      </x:c>
      <x:c r="H26" s="16" t="str">
        <x:v>SMT</x:v>
      </x:c>
      <x:c r="I26" s="16" t="str">
        <x:v>R9=PR1→GND. R14=Q2 Gate→GND. 두 저항은 서로 다른 회로용.</x:v>
      </x:c>
    </x:row>
    <x:row r="27" ht="64" customHeight="1">
      <x:c r="A27" s="3" t="n">
        <x:v>21</x:v>
      </x:c>
      <x:c r="B27" s="3" t="str">
        <x:v>R10</x:v>
      </x:c>
      <x:c r="C27" s="3" t="str">
        <x:v>3.3 V FB 상단</x:v>
      </x:c>
      <x:c r="D27" s="3" t="str">
        <x:v>511 kΩ ±1%
≥0.1 W</x:v>
      </x:c>
      <x:c r="E27" s="3" t="str">
        <x:v>0603 (inch)</x:v>
      </x:c>
      <x:c r="F27" s="19" t="n">
        <x:v>1</x:v>
      </x:c>
      <x:c r="G27" s="19" t="n">
        <x:f>F27*$B$3</x:f>
        <x:v>1</x:v>
      </x:c>
      <x:c r="H27" s="3" t="str">
        <x:v>SMT</x:v>
      </x:c>
      <x:c r="I27" s="3" t="str">
        <x:v>U3 VOUT→FB. R11=91 kΩ와 조합; 공칭 계산 약 3.308 V.</x:v>
      </x:c>
    </x:row>
    <x:row r="28" ht="64" customHeight="1">
      <x:c r="A28" s="16" t="n">
        <x:v>22</x:v>
      </x:c>
      <x:c r="B28" s="16" t="str">
        <x:v>R11</x:v>
      </x:c>
      <x:c r="C28" s="16" t="str">
        <x:v>3.3 V FB 하단</x:v>
      </x:c>
      <x:c r="D28" s="16" t="str">
        <x:v>91 kΩ ±1%
≥0.1 W</x:v>
      </x:c>
      <x:c r="E28" s="16" t="str">
        <x:v>0603 (inch)</x:v>
      </x:c>
      <x:c r="F28" s="20" t="n">
        <x:v>1</x:v>
      </x:c>
      <x:c r="G28" s="20" t="n">
        <x:f>F28*$B$3</x:f>
        <x:v>1</x:v>
      </x:c>
      <x:c r="H28" s="16" t="str">
        <x:v>SMT</x:v>
      </x:c>
      <x:c r="I28" s="16" t="str">
        <x:v>FB→AGND. 제조사 권고: 하단 저항 100 kΩ 이하.</x:v>
      </x:c>
    </x:row>
    <x:row r="29" ht="64" customHeight="1">
      <x:c r="A29" s="3" t="n">
        <x:v>23</x:v>
      </x:c>
      <x:c r="B29" s="3" t="str">
        <x:v>R12</x:v>
      </x:c>
      <x:c r="C29" s="3" t="str">
        <x:v>MOSFET 게이트 직렬</x:v>
      </x:c>
      <x:c r="D29" s="3" t="str">
        <x:v>100 Ω ±1%
≥0.1 W</x:v>
      </x:c>
      <x:c r="E29" s="3" t="str">
        <x:v>0603 (inch)</x:v>
      </x:c>
      <x:c r="F29" s="19" t="n">
        <x:v>1</x:v>
      </x:c>
      <x:c r="G29" s="19" t="n">
        <x:f>F29*$B$3</x:f>
        <x:v>1</x:v>
      </x:c>
      <x:c r="H29" s="3" t="str">
        <x:v>SMT</x:v>
      </x:c>
      <x:c r="I29" s="3" t="str">
        <x:v>신규 PCB IR GPIO→Q1 Gate. GPIO 핀 배정은 회로도에서 확정.</x:v>
      </x:c>
    </x:row>
    <x:row r="30" ht="64" customHeight="1">
      <x:c r="A30" s="16" t="n">
        <x:v>24</x:v>
      </x:c>
      <x:c r="B30" s="16" t="str">
        <x:v>R13</x:v>
      </x:c>
      <x:c r="C30" s="16" t="str">
        <x:v>IR 게이트 풀다운</x:v>
      </x:c>
      <x:c r="D30" s="16" t="str">
        <x:v>100 kΩ ±1%
≥0.1 W</x:v>
      </x:c>
      <x:c r="E30" s="16" t="str">
        <x:v>0603 (inch)</x:v>
      </x:c>
      <x:c r="F30" s="20" t="n">
        <x:v>1</x:v>
      </x:c>
      <x:c r="G30" s="20" t="n">
        <x:f>F30*$B$3</x:f>
        <x:v>1</x:v>
      </x:c>
      <x:c r="H30" s="16" t="str">
        <x:v>SMT</x:v>
      </x:c>
      <x:c r="I30" s="16" t="str">
        <x:v>Q1 Gate→Source/GND. 부팅·리셋 중 LED 기본 OFF.</x:v>
      </x:c>
    </x:row>
    <x:row r="31" ht="64" customHeight="1">
      <x:c r="A31" s="3" t="n">
        <x:v>25</x:v>
      </x:c>
      <x:c r="B31" s="3" t="str">
        <x:v>R15</x:v>
      </x:c>
      <x:c r="C31" s="3" t="str">
        <x:v>IR LED 전류 제한</x:v>
      </x:c>
      <x:c r="D31" s="3" t="str">
        <x:v>33 Ω ±1%
≥0.5 W / 최초 시험값</x:v>
      </x:c>
      <x:c r="E31" s="3" t="str">
        <x:v>1210 후보 (정격 확인)</x:v>
      </x:c>
      <x:c r="F31" s="19" t="n">
        <x:v>1</x:v>
      </x:c>
      <x:c r="G31" s="19" t="n">
        <x:f>F31*$B$3</x:f>
        <x:v>1</x:v>
      </x:c>
      <x:c r="H31" s="3" t="str">
        <x:v>SMT</x:v>
      </x:c>
      <x:c r="I31" s="3" t="str">
        <x:v>3.3 V 레일 전용. 약 60 mA 계산값, 실측 아님. 5 V에 같은 값 적용 금지.</x:v>
      </x:c>
    </x:row>
    <x:row r="32" ht="64" customHeight="1">
      <x:c r="A32" s="16" t="n">
        <x:v>26</x:v>
      </x:c>
      <x:c r="B32" s="16" t="str">
        <x:v>C1, C2</x:v>
      </x:c>
      <x:c r="C32" s="16" t="str">
        <x:v>USB·배터리 입력 디커플링</x:v>
      </x:c>
      <x:c r="D32" s="16" t="str">
        <x:v>4.7 µF ±20% X7R/X5R
16 V / DC bias 확인</x:v>
      </x:c>
      <x:c r="E32" s="16" t="str">
        <x:v>0805 (inch)</x:v>
      </x:c>
      <x:c r="F32" s="20" t="n">
        <x:v>2</x:v>
      </x:c>
      <x:c r="G32" s="20" t="n">
        <x:f>F32*$B$3</x:f>
        <x:v>2</x:v>
      </x:c>
      <x:c r="H32" s="16" t="str">
        <x:v>SMT</x:v>
      </x:c>
      <x:c r="I32" s="16" t="str">
        <x:v>C1=USB 입력, C2=보호된 AA 입력. USB 직결 대용량 전해는 사용 안 함.</x:v>
      </x:c>
    </x:row>
    <x:row r="33" ht="64" customHeight="1">
      <x:c r="A33" s="3" t="n">
        <x:v>27</x:v>
      </x:c>
      <x:c r="B33" s="3" t="str">
        <x:v>C3, C5</x:v>
      </x:c>
      <x:c r="C33" s="3" t="str">
        <x:v>DC-DC 입력·H2 전원 벌크</x:v>
      </x:c>
      <x:c r="D33" s="3" t="str">
        <x:v>10 µF ±20% X7R/X5R
10 V / DC bias 확인</x:v>
      </x:c>
      <x:c r="E33" s="3" t="str">
        <x:v>0805 (inch)</x:v>
      </x:c>
      <x:c r="F33" s="19" t="n">
        <x:v>2</x:v>
      </x:c>
      <x:c r="G33" s="19" t="n">
        <x:f>F33*$B$3</x:f>
        <x:v>2</x:v>
      </x:c>
      <x:c r="H33" s="3" t="str">
        <x:v>SMT</x:v>
      </x:c>
      <x:c r="I33" s="3" t="str">
        <x:v>C3=U3 VIN, C5=U1 3V3. C5는 모듈 외부 전원 입구에 배치.</x:v>
      </x:c>
    </x:row>
    <x:row r="34" ht="64" customHeight="1">
      <x:c r="A34" s="16" t="n">
        <x:v>28</x:v>
      </x:c>
      <x:c r="B34" s="16" t="str">
        <x:v>C4, C6</x:v>
      </x:c>
      <x:c r="C34" s="16" t="str">
        <x:v>3.3 V 출력·IR 펄스 버퍼</x:v>
      </x:c>
      <x:c r="D34" s="16" t="str">
        <x:v>22 µF ±20% X7R/X5R
10 V / DC bias 확인</x:v>
      </x:c>
      <x:c r="E34" s="16" t="str">
        <x:v>0805 또는 1206 후보</x:v>
      </x:c>
      <x:c r="F34" s="20" t="n">
        <x:v>2</x:v>
      </x:c>
      <x:c r="G34" s="20" t="n">
        <x:f>F34*$B$3</x:f>
        <x:v>2</x:v>
      </x:c>
      <x:c r="H34" s="16" t="str">
        <x:v>SMT</x:v>
      </x:c>
      <x:c r="I34" s="16" t="str">
        <x:v>C4는 DC-DC 바로 옆, C6은 IR 분기. 부하 응답·실효 용량 확인 후 확정.</x:v>
      </x:c>
    </x:row>
    <x:row r="35" ht="64" customHeight="1">
      <x:c r="A35" s="3" t="n">
        <x:v>29</x:v>
      </x:c>
      <x:c r="B35" s="3" t="str">
        <x:v>C7, C8, C9</x:v>
      </x:c>
      <x:c r="C35" s="3" t="str">
        <x:v>고주파 바이패스</x:v>
      </x:c>
      <x:c r="D35" s="3" t="str">
        <x:v>100 nF ±10% X7R
16 V 이상</x:v>
      </x:c>
      <x:c r="E35" s="3" t="str">
        <x:v>0603 (inch)</x:v>
      </x:c>
      <x:c r="F35" s="19" t="n">
        <x:v>3</x:v>
      </x:c>
      <x:c r="G35" s="19" t="n">
        <x:f>F35*$B$3</x:f>
        <x:v>3</x:v>
      </x:c>
      <x:c r="H35" s="3" t="str">
        <x:v>SMT</x:v>
      </x:c>
      <x:c r="I35" s="3" t="str">
        <x:v>각각 H2 3V3, IR 3V3, DC-DC VIN 가까이. 모두 전원–GND 병렬.</x:v>
      </x:c>
    </x:row>
    <x:row r="36" ht="64" customHeight="1">
      <x:c r="A36" s="16" t="n">
        <x:v>30</x:v>
      </x:c>
      <x:c r="B36" s="16" t="str">
        <x:v>C10</x:v>
      </x:c>
      <x:c r="C36" s="16" t="str">
        <x:v>EN 시동 지연</x:v>
      </x:c>
      <x:c r="D36" s="16" t="str">
        <x:v>1 µF ±20% X7R/X5R
10 V</x:v>
      </x:c>
      <x:c r="E36" s="16" t="str">
        <x:v>0603 (inch)</x:v>
      </x:c>
      <x:c r="F36" s="20" t="n">
        <x:v>1</x:v>
      </x:c>
      <x:c r="G36" s="20" t="n">
        <x:f>F36*$B$3</x:f>
        <x:v>1</x:v>
      </x:c>
      <x:c r="H36" s="16" t="str">
        <x:v>SMT</x:v>
      </x:c>
      <x:c r="I36" s="16" t="str">
        <x:v>EN→GND. R5=10 kΩ와 조합; 실제 전원 상승시간 검증.</x:v>
      </x:c>
    </x:row>
    <x:row r="37" ht="64" customHeight="1">
      <x:c r="A37" s="3" t="n">
        <x:v>31</x:v>
      </x:c>
      <x:c r="B37" s="3" t="str">
        <x:v>R16</x:v>
      </x:c>
      <x:c r="C37" s="3" t="str">
        <x:v>전원 전류 측정 분리 링크</x:v>
      </x:c>
      <x:c r="D37" s="3" t="str">
        <x:v>0 Ω
≥1 A 정격 확인</x:v>
      </x:c>
      <x:c r="E37" s="3" t="str">
        <x:v>0805 (inch)</x:v>
      </x:c>
      <x:c r="F37" s="19" t="n">
        <x:v>1</x:v>
      </x:c>
      <x:c r="G37" s="19" t="n">
        <x:f>F37*$B$3</x:f>
        <x:v>1</x:v>
      </x:c>
      <x:c r="H37" s="3" t="str">
        <x:v>SMT</x:v>
      </x:c>
      <x:c r="I37" s="3" t="str">
        <x:v>3.3 V 부하 경로 측정용. 배터리 입력 측정 패드도 별도 확보.</x:v>
      </x:c>
    </x:row>
    <x:row r="38" ht="64" customHeight="1">
      <x:c r="A38" s="21" t="n">
        <x:v>32</x:v>
      </x:c>
      <x:c r="B38" s="21" t="str">
        <x:v>R17, R18, C11</x:v>
      </x:c>
      <x:c r="C38" s="21" t="str">
        <x:v>배터리 측정 예비 자리</x:v>
      </x:c>
      <x:c r="D38" s="21" t="str">
        <x:v>저항·커패시터 값 미정 / DNP
초기 미실장</x:v>
      </x:c>
      <x:c r="E38" s="21" t="str">
        <x:v>0603 예비</x:v>
      </x:c>
      <x:c r="F38" s="22" t="n">
        <x:v>0</x:v>
      </x:c>
      <x:c r="G38" s="22" t="n">
        <x:f>F38*$B$3</x:f>
        <x:v>0</x:v>
      </x:c>
      <x:c r="H38" s="21" t="str">
        <x:v>DNP</x:v>
      </x:c>
      <x:c r="I38" s="21" t="str">
        <x:v>GPIO 역급전·분압 대기전류·ADC 오차·전원 OFF 상태 검토 전 연결하지 않음.</x:v>
      </x:c>
    </x:row>
    <x:row r="39" ht="64" customHeight="1">
      <x:c r="A39" s="23" t="n">
        <x:v>33</x:v>
      </x:c>
      <x:c r="B39" s="23" t="str">
        <x:v>D2, R19</x:v>
      </x:c>
      <x:c r="C39" s="23" t="str">
        <x:v>상태 LED 예비 자리</x:v>
      </x:c>
      <x:c r="D39" s="23" t="str">
        <x:v>가시 LED + 저항 / DNP
초기 미실장</x:v>
      </x:c>
      <x:c r="E39" s="23" t="str">
        <x:v>0603 예비</x:v>
      </x:c>
      <x:c r="F39" s="24" t="n">
        <x:v>0</x:v>
      </x:c>
      <x:c r="G39" s="24" t="n">
        <x:f>F39*$B$3</x:f>
        <x:v>0</x:v>
      </x:c>
      <x:c r="H39" s="23" t="str">
        <x:v>DNP</x:v>
      </x:c>
      <x:c r="I39" s="23" t="str">
        <x:v>상시 전원 표시 LED는 제외. 필요 시 GPIO로 페어링 중에만 점등.</x:v>
      </x:c>
    </x:row>
  </x:sheetData>
  <x:dataValidations count="1">
    <x:dataValidation type="whole" operator="between" sqref="B3">
      <x:formula1>1</x:formula1>
      <x:formula2>10000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d189276bb2d04f9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6" hidden="0" customWidth="1"/>
    <x:col min="2" max="2" width="35" hidden="0" customWidth="1"/>
    <x:col min="3" max="3" width="31" hidden="0" customWidth="1"/>
    <x:col min="4" max="4" width="26" hidden="0" customWidth="1"/>
    <x:col min="5" max="5" width="53" hidden="0" customWidth="1"/>
    <x:col min="6" max="6" width="74" hidden="0" customWidth="1"/>
    <x:col min="7" max="7" width="85" hidden="0" customWidth="1"/>
  </x:cols>
  <x:sheetData>
    <x:row r="1" ht="30" customHeight="1">
      <x:c r="A1" s="5" t="str">
        <x:v>조달 정보와 근거</x:v>
      </x:c>
      <x:c r="B1" s="3"/>
      <x:c r="C1" s="3"/>
      <x:c r="D1" s="3"/>
      <x:c r="E1" s="3"/>
      <x:c r="F1" s="3"/>
      <x:c r="G1" s="3"/>
    </x:row>
    <x:row r="2" ht="24" customHeight="1">
      <x:c r="A2" s="7" t="str">
        <x:v>조회 기준 2026-09-18. 등록 확인 ≠ 재고 확보. 가격·MOQ·배송·실장 비용은 주문 시 확인.</x:v>
      </x:c>
      <x:c r="B2" s="3"/>
      <x:c r="C2" s="3"/>
      <x:c r="D2" s="3"/>
      <x:c r="E2" s="3"/>
      <x:c r="F2" s="3"/>
      <x:c r="G2" s="3"/>
    </x:row>
    <x:row r="3">
      <x:c r="A3" s="3"/>
      <x:c r="B3" s="3"/>
      <x:c r="C3" s="3"/>
      <x:c r="D3" s="3"/>
      <x:c r="E3" s="3"/>
      <x:c r="F3" s="3"/>
      <x:c r="G3" s="3"/>
    </x:row>
    <x:row r="4" ht="30" customHeight="1">
      <x:c r="A4" s="13" t="str">
        <x:v>번호</x:v>
      </x:c>
      <x:c r="B4" s="14" t="str">
        <x:v>부품 / 값</x:v>
      </x:c>
      <x:c r="C4" s="14" t="str">
        <x:v>제조사</x:v>
      </x:c>
      <x:c r="D4" s="14" t="str">
        <x:v>부품 코드</x:v>
      </x:c>
      <x:c r="E4" s="14" t="str">
        <x:v>조달 확인 범위</x:v>
      </x:c>
      <x:c r="F4" s="14" t="str">
        <x:v>제품 / 조달 URL</x:v>
      </x:c>
      <x:c r="G4" s="15" t="str">
        <x:v>설계 근거 URL</x:v>
      </x:c>
    </x:row>
    <x:row r="5" ht="96" customHeight="1">
      <x:c r="A5" s="3" t="n">
        <x:v>1</x:v>
      </x:c>
      <x:c r="B5" s="3" t="str">
        <x:v>ESP32-H2-MINI-1-H4S</x:v>
      </x:c>
      <x:c r="C5" s="3" t="str">
        <x:v>Espressif</x:v>
      </x:c>
      <x:c r="D5" s="3" t="str">
        <x:v>C47967030</x:v>
      </x:c>
      <x:c r="E5" s="3" t="str">
        <x:v>JLC 등록 확인; 재고·단가 미확정</x:v>
      </x:c>
      <x:c r="F5" s="3" t="str">
        <x:v>https://jlcpcb.com/partdetail/50203214-ESP32_H2_MINI_1H4S/C47967030</x:v>
      </x:c>
      <x:c r="G5" s="3" t="str">
        <x:v>https://documentation.espressif.com/esp32-h2-mini-1_mini-1u_datasheet_en.html</x:v>
      </x:c>
    </x:row>
    <x:row r="6" ht="96" customHeight="1">
      <x:c r="A6" s="16" t="n">
        <x:v>2</x:v>
      </x:c>
      <x:c r="B6" s="16" t="str">
        <x:v>TPS2116DRLR</x:v>
      </x:c>
      <x:c r="C6" s="16" t="str">
        <x:v>Texas Instruments</x:v>
      </x:c>
      <x:c r="D6" s="16" t="str">
        <x:v>C3235557</x:v>
      </x:c>
      <x:c r="E6" s="16" t="str">
        <x:v>JLC 등록 확인; 재고·단가 미확정</x:v>
      </x:c>
      <x:c r="F6" s="16" t="str">
        <x:v>https://jlcpcb.com/partdetail/TexasInstruments-TPS2116DRLR/C3235557</x:v>
      </x:c>
      <x:c r="G6" s="16" t="str">
        <x:v>https://www.ti.com/lit/ds/symlink/tps2116.pdf</x:v>
      </x:c>
    </x:row>
    <x:row r="7" ht="96" customHeight="1">
      <x:c r="A7" s="3" t="n">
        <x:v>3</x:v>
      </x:c>
      <x:c r="B7" s="3" t="str">
        <x:v>TPS63802DLAR</x:v>
      </x:c>
      <x:c r="C7" s="3" t="str">
        <x:v>Texas Instruments</x:v>
      </x:c>
      <x:c r="D7" s="3" t="str">
        <x:v>C2845237</x:v>
      </x:c>
      <x:c r="E7" s="3" t="str">
        <x:v>JLC 등록 확인; 재고·단가 미확정</x:v>
      </x:c>
      <x:c r="F7" s="3" t="str">
        <x:v>https://jlcpcb.com/partdetail/TexasInstruments-TPS63802DLAR/C2845237</x:v>
      </x:c>
      <x:c r="G7" s="3" t="str">
        <x:v>https://www.ti.com/lit/ds/symlink/tps63802.pdf</x:v>
      </x:c>
    </x:row>
    <x:row r="8" ht="96" customHeight="1">
      <x:c r="A8" s="16" t="n">
        <x:v>4</x:v>
      </x:c>
      <x:c r="B8" s="16" t="str">
        <x:v>XFL4015-471MEC</x:v>
      </x:c>
      <x:c r="C8" s="16" t="str">
        <x:v>Coilcraft</x:v>
      </x:c>
      <x:c r="D8" s="16" t="str">
        <x:v>C18221164 (LCSC)</x:v>
      </x:c>
      <x:c r="E8" s="16" t="str">
        <x:v>LCSC 등록 확인; JLC 매칭 미확인</x:v>
      </x:c>
      <x:c r="F8" s="16" t="str">
        <x:v>https://www.lcsc.com/product-detail/Power-Inductors_Coilcraft-XFL4015-471MEC_C18221164.html</x:v>
      </x:c>
      <x:c r="G8" s="16" t="str">
        <x:v>https://www.coilcraft.com/en-us/products/power/shielded-inductors/molded-inductor/xfl/xfl4015/xfl4015-471/</x:v>
      </x:c>
    </x:row>
    <x:row r="9" ht="96" customHeight="1">
      <x:c r="A9" s="3" t="n">
        <x:v>5</x:v>
      </x:c>
      <x:c r="B9" s="3" t="str">
        <x:v>AO3400A</x:v>
      </x:c>
      <x:c r="C9" s="3" t="str">
        <x:v>Alpha &amp; Omega Semiconductor</x:v>
      </x:c>
      <x:c r="D9" s="3" t="str">
        <x:v>C20917</x:v>
      </x:c>
      <x:c r="E9" s="3" t="str">
        <x:v>JLC 등록 확인; 재고·단가 미확정</x:v>
      </x:c>
      <x:c r="F9" s="3" t="str">
        <x:v>https://jlcpcb.com/partdetail/Alpha_OmegaSemicon-AO3400A/C20917</x:v>
      </x:c>
      <x:c r="G9" s="3" t="str">
        <x:v>https://www.aosmd.com/sites/default/files/res/datasheets/AO3400A.pdf</x:v>
      </x:c>
    </x:row>
    <x:row r="10" ht="96" customHeight="1">
      <x:c r="A10" s="16" t="n">
        <x:v>6</x:v>
      </x:c>
      <x:c r="B10" s="16" t="str">
        <x:v>DMP2035U-7</x:v>
      </x:c>
      <x:c r="C10" s="16" t="str">
        <x:v>Diodes Incorporated</x:v>
      </x:c>
      <x:c r="D10" s="16" t="str">
        <x:v>C110499</x:v>
      </x:c>
      <x:c r="E10" s="16" t="str">
        <x:v>JLC 등록 확인; 재고·단가 미확정</x:v>
      </x:c>
      <x:c r="F10" s="16" t="str">
        <x:v>https://jlcpcb.com/partdetail/DiodesIncorporated-DMP2035U7/C110499</x:v>
      </x:c>
      <x:c r="G10" s="16" t="str">
        <x:v>https://www.diodes.com/datasheet/download/DMP2035U.pdf</x:v>
      </x:c>
    </x:row>
    <x:row r="11" ht="96" customHeight="1">
      <x:c r="A11" s="3" t="n">
        <x:v>7</x:v>
      </x:c>
      <x:c r="B11" s="3" t="str">
        <x:v>TSAL6200</x:v>
      </x:c>
      <x:c r="C11" s="3" t="str">
        <x:v>Vishay</x:v>
      </x:c>
      <x:c r="D11" s="3" t="str">
        <x:v>C55528</x:v>
      </x:c>
      <x:c r="E11" s="3" t="str">
        <x:v>JLC 등록 확인; 스루홀 조립 비용 별도</x:v>
      </x:c>
      <x:c r="F11" s="3" t="str">
        <x:v>https://jlcpcb.com/partdetail/VishayIntertech-TSAL6200/C55528</x:v>
      </x:c>
      <x:c r="G11" s="3" t="str">
        <x:v>https://www.vishay.com/docs/81010/tsal6200.pdf</x:v>
      </x:c>
    </x:row>
    <x:row r="12" ht="96" customHeight="1">
      <x:c r="A12" s="16" t="n">
        <x:v>8</x:v>
      </x:c>
      <x:c r="B12" s="16" t="str">
        <x:v>TYPE-C-31-M-12</x:v>
      </x:c>
      <x:c r="C12" s="16" t="str">
        <x:v>Korean Hroparts Elec</x:v>
      </x:c>
      <x:c r="D12" s="16" t="str">
        <x:v>C165948</x:v>
      </x:c>
      <x:c r="E12" s="16" t="str">
        <x:v>JLC 등록 확인; 재고·단가 미확정</x:v>
      </x:c>
      <x:c r="F12" s="16" t="str">
        <x:v>https://jlcpcb.com/partdetail/Korean_HropartsElec-TYPE_C_31_M12/C165948</x:v>
      </x:c>
      <x:c r="G12" s="16" t="str">
        <x:v>https://docs.espressif.com/projects/esp-iot-solution/en/latest/usb/usb_overview/usb_typec_hardware_guide.html</x:v>
      </x:c>
    </x:row>
    <x:row r="13" ht="96" customHeight="1">
      <x:c r="A13" s="3" t="n">
        <x:v>9</x:v>
      </x:c>
      <x:c r="B13" s="3" t="str">
        <x:v>TPD2EUSB30DRTR</x:v>
      </x:c>
      <x:c r="C13" s="3" t="str">
        <x:v>Texas Instruments</x:v>
      </x:c>
      <x:c r="D13" s="3" t="str">
        <x:v>C97502</x:v>
      </x:c>
      <x:c r="E13" s="3" t="str">
        <x:v>JLC 등록 확인; 재고·단가 미확정</x:v>
      </x:c>
      <x:c r="F13" s="3" t="str">
        <x:v>https://jlcpcb.com/partdetail/TexasInstruments-TPD2EUSB30DRTR/C97502</x:v>
      </x:c>
      <x:c r="G13" s="3" t="str">
        <x:v>https://www.ti.com/product/TPD2EUSB30</x:v>
      </x:c>
    </x:row>
    <x:row r="14" ht="96" customHeight="1">
      <x:c r="A14" s="16" t="n">
        <x:v>10</x:v>
      </x:c>
      <x:c r="B14" s="16" t="str">
        <x:v>규격 선정: PPTC</x:v>
      </x:c>
      <x:c r="C14" s="16" t="str">
        <x:v>미선정</x:v>
      </x:c>
      <x:c r="D14" s="16" t="str">
        <x:v>미선정</x:v>
      </x:c>
      <x:c r="E14" s="16" t="str">
        <x:v>정확한 MPN·저항·온도 디레이팅 확인 필요</x:v>
      </x:c>
      <x:c r="F14" s="16" t="str">
        <x:v>확정 후 입력</x:v>
      </x:c>
      <x:c r="G14" s="16" t="str">
        <x:v>https://docs.espressif.com/projects/esp-iot-solution/en/latest/usb/usb_overview/usb_typec_hardware_guide.html</x:v>
      </x:c>
    </x:row>
    <x:row r="15" ht="96" customHeight="1">
      <x:c r="A15" s="3" t="n">
        <x:v>11</x:v>
      </x:c>
      <x:c r="B15" s="3" t="str">
        <x:v>규격 선정: PPTC</x:v>
      </x:c>
      <x:c r="C15" s="3" t="str">
        <x:v>미선정</x:v>
      </x:c>
      <x:c r="D15" s="3" t="str">
        <x:v>미선정</x:v>
      </x:c>
      <x:c r="E15" s="3" t="str">
        <x:v>정확한 MPN·패키지 미확정</x:v>
      </x:c>
      <x:c r="F15" s="3" t="str">
        <x:v>확정 후 입력</x:v>
      </x:c>
      <x:c r="G15" s="3" t="str">
        <x:v>https://www.ti.com/lit/ds/symlink/tps63802.pdf</x:v>
      </x:c>
    </x:row>
    <x:row r="16" ht="96" customHeight="1">
      <x:c r="A16" s="16" t="n">
        <x:v>12</x:v>
      </x:c>
      <x:c r="B16" s="16" t="str">
        <x:v>2462</x:v>
      </x:c>
      <x:c r="C16" s="16" t="str">
        <x:v>Keystone</x:v>
      </x:c>
      <x:c r="D16" s="16" t="str">
        <x:v>미선정</x:v>
      </x:c>
      <x:c r="E16" s="16" t="str">
        <x:v>제조사 제품 확인; 국내·해외 조달 별도</x:v>
      </x:c>
      <x:c r="F16" s="16" t="str">
        <x:v>https://beta.keyelco.com/product.cfm/product_id/1027/checkStock/1</x:v>
      </x:c>
      <x:c r="G16" s="16" t="str">
        <x:v>https://beta.keyelco.com/product.cfm/product_id/1027/checkStock/1</x:v>
      </x:c>
    </x:row>
    <x:row r="17" ht="96" customHeight="1">
      <x:c r="A17" s="3" t="n">
        <x:v>13</x:v>
      </x:c>
      <x:c r="B17" s="3" t="str">
        <x:v>LR6 알카라인 AA 1.5 V</x:v>
      </x:c>
      <x:c r="C17" s="3" t="str">
        <x:v>동일 제조사·동일 종류</x:v>
      </x:c>
      <x:c r="D17" s="3" t="str">
        <x:v>미선정</x:v>
      </x:c>
      <x:c r="E17" s="3" t="str">
        <x:v>브랜드 미지정; 일반 소매 구매</x:v>
      </x:c>
      <x:c r="F17" s="3" t="str">
        <x:v>확정 후 입력</x:v>
      </x:c>
      <x:c r="G17" s="3" t="str">
        <x:v>https://beta.keyelco.com/product.cfm/product_id/1027/checkStock/1</x:v>
      </x:c>
    </x:row>
    <x:row r="18" ht="96" customHeight="1">
      <x:c r="A18" s="16" t="n">
        <x:v>14</x:v>
      </x:c>
      <x:c r="B18" s="16" t="str">
        <x:v>규격 선정: SPST/SPDT 슬라이드</x:v>
      </x:c>
      <x:c r="C18" s="16" t="str">
        <x:v>미선정</x:v>
      </x:c>
      <x:c r="D18" s="16" t="str">
        <x:v>미선정</x:v>
      </x:c>
      <x:c r="E18" s="16" t="str">
        <x:v>MPN·접점 정격·기구 치수 미확정</x:v>
      </x:c>
      <x:c r="F18" s="16" t="str">
        <x:v>확정 후 입력</x:v>
      </x:c>
      <x:c r="G18" s="16" t="str">
        <x:v>https://beta.keyelco.com/product.cfm/product_id/1027/checkStock/1</x:v>
      </x:c>
    </x:row>
    <x:row r="19" ht="96" customHeight="1">
      <x:c r="A19" s="3" t="n">
        <x:v>15</x:v>
      </x:c>
      <x:c r="B19" s="3" t="str">
        <x:v>규격 선정: 순간동작 NO 택트</x:v>
      </x:c>
      <x:c r="C19" s="3" t="str">
        <x:v>미선정</x:v>
      </x:c>
      <x:c r="D19" s="3" t="str">
        <x:v>미선정</x:v>
      </x:c>
      <x:c r="E19" s="3" t="str">
        <x:v>MPN·기구 치수 미확정</x:v>
      </x:c>
      <x:c r="F19" s="3" t="str">
        <x:v>확정 후 입력</x:v>
      </x:c>
      <x:c r="G19" s="3" t="str">
        <x:v>https://documentation.espressif.com/esp32-h2-mini-1_mini-1u_datasheet_en.html</x:v>
      </x:c>
    </x:row>
    <x:row r="20" ht="96" customHeight="1">
      <x:c r="A20" s="16" t="n">
        <x:v>16</x:v>
      </x:c>
      <x:c r="B20" s="16" t="str">
        <x:v>5.1 kΩ ±1%</x:v>
      </x:c>
      <x:c r="C20" s="16" t="str">
        <x:v>규격 동등품</x:v>
      </x:c>
      <x:c r="D20" s="16" t="str">
        <x:v>미선정</x:v>
      </x:c>
      <x:c r="E20" s="16" t="str">
        <x:v>수동소자 MPN·JLC 코드 후속 선정</x:v>
      </x:c>
      <x:c r="F20" s="16" t="str">
        <x:v>확정 후 입력</x:v>
      </x:c>
      <x:c r="G20" s="16" t="str">
        <x:v>https://docs.espressif.com/projects/esp-iot-solution/en/latest/usb/usb_overview/usb_typec_hardware_guide.html</x:v>
      </x:c>
    </x:row>
    <x:row r="21" ht="96" customHeight="1">
      <x:c r="A21" s="3" t="n">
        <x:v>17</x:v>
      </x:c>
      <x:c r="B21" s="3" t="str">
        <x:v>22 Ω ±1%</x:v>
      </x:c>
      <x:c r="C21" s="3" t="str">
        <x:v>규격 동등품</x:v>
      </x:c>
      <x:c r="D21" s="3" t="str">
        <x:v>미선정</x:v>
      </x:c>
      <x:c r="E21" s="3" t="str">
        <x:v>수동소자 MPN·JLC 코드 후속 선정</x:v>
      </x:c>
      <x:c r="F21" s="3" t="str">
        <x:v>확정 후 입력</x:v>
      </x:c>
      <x:c r="G21" s="3" t="str">
        <x:v>https://docs.espressif.com/projects/esp-hardware-design-guidelines/en/latest/esp32h2/schematic-checklist.html</x:v>
      </x:c>
    </x:row>
    <x:row r="22" ht="96" customHeight="1">
      <x:c r="A22" s="16" t="n">
        <x:v>18</x:v>
      </x:c>
      <x:c r="B22" s="16" t="str">
        <x:v>10 kΩ ±1%</x:v>
      </x:c>
      <x:c r="C22" s="16" t="str">
        <x:v>규격 동등품</x:v>
      </x:c>
      <x:c r="D22" s="16" t="str">
        <x:v>미선정</x:v>
      </x:c>
      <x:c r="E22" s="16" t="str">
        <x:v>수동소자 MPN·JLC 코드 후속 선정</x:v>
      </x:c>
      <x:c r="F22" s="16" t="str">
        <x:v>확정 후 입력</x:v>
      </x:c>
      <x:c r="G22" s="16" t="str">
        <x:v>https://documentation.espressif.com/esp32-h2-mini-1_mini-1u_datasheet_en.html</x:v>
      </x:c>
    </x:row>
    <x:row r="23" ht="96" customHeight="1">
      <x:c r="A23" s="3" t="n">
        <x:v>19</x:v>
      </x:c>
      <x:c r="B23" s="3" t="str">
        <x:v>300 kΩ ±1%</x:v>
      </x:c>
      <x:c r="C23" s="3" t="str">
        <x:v>규격 동등품</x:v>
      </x:c>
      <x:c r="D23" s="3" t="str">
        <x:v>미선정</x:v>
      </x:c>
      <x:c r="E23" s="3" t="str">
        <x:v>수동소자 MPN·JLC 코드 후속 선정</x:v>
      </x:c>
      <x:c r="F23" s="3" t="str">
        <x:v>확정 후 입력</x:v>
      </x:c>
      <x:c r="G23" s="3" t="str">
        <x:v>https://www.ti.com/lit/ds/symlink/tps2116.pdf</x:v>
      </x:c>
    </x:row>
    <x:row r="24" ht="96" customHeight="1">
      <x:c r="A24" s="16" t="n">
        <x:v>20</x:v>
      </x:c>
      <x:c r="B24" s="16" t="str">
        <x:v>100 kΩ ±1%</x:v>
      </x:c>
      <x:c r="C24" s="16" t="str">
        <x:v>규격 동등품</x:v>
      </x:c>
      <x:c r="D24" s="16" t="str">
        <x:v>미선정</x:v>
      </x:c>
      <x:c r="E24" s="16" t="str">
        <x:v>수동소자 MPN·JLC 코드 후속 선정</x:v>
      </x:c>
      <x:c r="F24" s="16" t="str">
        <x:v>확정 후 입력</x:v>
      </x:c>
      <x:c r="G24" s="16" t="str">
        <x:v>https://www.ti.com/lit/ds/symlink/tps2116.pdf</x:v>
      </x:c>
    </x:row>
    <x:row r="25" ht="96" customHeight="1">
      <x:c r="A25" s="3" t="n">
        <x:v>21</x:v>
      </x:c>
      <x:c r="B25" s="3" t="str">
        <x:v>511 kΩ ±1%</x:v>
      </x:c>
      <x:c r="C25" s="3" t="str">
        <x:v>규격 동등품</x:v>
      </x:c>
      <x:c r="D25" s="3" t="str">
        <x:v>미선정</x:v>
      </x:c>
      <x:c r="E25" s="3" t="str">
        <x:v>수동소자 MPN·JLC 코드 후속 선정</x:v>
      </x:c>
      <x:c r="F25" s="3" t="str">
        <x:v>확정 후 입력</x:v>
      </x:c>
      <x:c r="G25" s="3" t="str">
        <x:v>https://www.ti.com/lit/ds/symlink/tps63802.pdf</x:v>
      </x:c>
    </x:row>
    <x:row r="26" ht="96" customHeight="1">
      <x:c r="A26" s="16" t="n">
        <x:v>22</x:v>
      </x:c>
      <x:c r="B26" s="16" t="str">
        <x:v>91 kΩ ±1%</x:v>
      </x:c>
      <x:c r="C26" s="16" t="str">
        <x:v>규격 동등품</x:v>
      </x:c>
      <x:c r="D26" s="16" t="str">
        <x:v>미선정</x:v>
      </x:c>
      <x:c r="E26" s="16" t="str">
        <x:v>수동소자 MPN·JLC 코드 후속 선정</x:v>
      </x:c>
      <x:c r="F26" s="16" t="str">
        <x:v>확정 후 입력</x:v>
      </x:c>
      <x:c r="G26" s="16" t="str">
        <x:v>https://www.ti.com/lit/ds/symlink/tps63802.pdf</x:v>
      </x:c>
    </x:row>
    <x:row r="27" ht="96" customHeight="1">
      <x:c r="A27" s="3" t="n">
        <x:v>23</x:v>
      </x:c>
      <x:c r="B27" s="3" t="str">
        <x:v>100 Ω ±1%</x:v>
      </x:c>
      <x:c r="C27" s="3" t="str">
        <x:v>규격 동등품</x:v>
      </x:c>
      <x:c r="D27" s="3" t="str">
        <x:v>미선정</x:v>
      </x:c>
      <x:c r="E27" s="3" t="str">
        <x:v>수동소자 MPN·JLC 코드 후속 선정</x:v>
      </x:c>
      <x:c r="F27" s="3" t="str">
        <x:v>확정 후 입력</x:v>
      </x:c>
      <x:c r="G27" s="3" t="str">
        <x:v>https://www.aosmd.com/sites/default/files/res/datasheets/AO3400A.pdf</x:v>
      </x:c>
    </x:row>
    <x:row r="28" ht="96" customHeight="1">
      <x:c r="A28" s="16" t="n">
        <x:v>24</x:v>
      </x:c>
      <x:c r="B28" s="16" t="str">
        <x:v>100 kΩ ±1%</x:v>
      </x:c>
      <x:c r="C28" s="16" t="str">
        <x:v>규격 동등품</x:v>
      </x:c>
      <x:c r="D28" s="16" t="str">
        <x:v>미선정</x:v>
      </x:c>
      <x:c r="E28" s="16" t="str">
        <x:v>수동소자 MPN·JLC 코드 후속 선정</x:v>
      </x:c>
      <x:c r="F28" s="16" t="str">
        <x:v>확정 후 입력</x:v>
      </x:c>
      <x:c r="G28" s="16" t="str">
        <x:v>https://www.aosmd.com/sites/default/files/res/datasheets/AO3400A.pdf</x:v>
      </x:c>
    </x:row>
    <x:row r="29" ht="96" customHeight="1">
      <x:c r="A29" s="3" t="n">
        <x:v>25</x:v>
      </x:c>
      <x:c r="B29" s="3" t="str">
        <x:v>33 Ω ±1%</x:v>
      </x:c>
      <x:c r="C29" s="3" t="str">
        <x:v>규격 동등품</x:v>
      </x:c>
      <x:c r="D29" s="3" t="str">
        <x:v>미선정</x:v>
      </x:c>
      <x:c r="E29" s="3" t="str">
        <x:v>펄스·온도 정격 만족 MPN 후속 선정</x:v>
      </x:c>
      <x:c r="F29" s="3" t="str">
        <x:v>확정 후 입력</x:v>
      </x:c>
      <x:c r="G29" s="3" t="str">
        <x:v>https://www.vishay.com/docs/81010/tsal6200.pdf</x:v>
      </x:c>
    </x:row>
    <x:row r="30" ht="96" customHeight="1">
      <x:c r="A30" s="16" t="n">
        <x:v>26</x:v>
      </x:c>
      <x:c r="B30" s="16" t="str">
        <x:v>4.7 µF ±20% X7R/X5R</x:v>
      </x:c>
      <x:c r="C30" s="16" t="str">
        <x:v>규격 동등품</x:v>
      </x:c>
      <x:c r="D30" s="16" t="str">
        <x:v>미선정</x:v>
      </x:c>
      <x:c r="E30" s="16" t="str">
        <x:v>유효 용량 확인 후 MPN 선정</x:v>
      </x:c>
      <x:c r="F30" s="16" t="str">
        <x:v>확정 후 입력</x:v>
      </x:c>
      <x:c r="G30" s="16" t="str">
        <x:v>https://www.ti.com/lit/ds/symlink/tps2116.pdf</x:v>
      </x:c>
    </x:row>
    <x:row r="31" ht="96" customHeight="1">
      <x:c r="A31" s="3" t="n">
        <x:v>27</x:v>
      </x:c>
      <x:c r="B31" s="3" t="str">
        <x:v>10 µF ±20% X7R/X5R</x:v>
      </x:c>
      <x:c r="C31" s="3" t="str">
        <x:v>규격 동등품</x:v>
      </x:c>
      <x:c r="D31" s="3" t="str">
        <x:v>미선정</x:v>
      </x:c>
      <x:c r="E31" s="3" t="str">
        <x:v>유효 용량 확인 후 MPN 선정</x:v>
      </x:c>
      <x:c r="F31" s="3" t="str">
        <x:v>확정 후 입력</x:v>
      </x:c>
      <x:c r="G31" s="3" t="str">
        <x:v>https://www.ti.com/lit/ds/symlink/tps63802.pdf</x:v>
      </x:c>
    </x:row>
    <x:row r="32" ht="96" customHeight="1">
      <x:c r="A32" s="16" t="n">
        <x:v>28</x:v>
      </x:c>
      <x:c r="B32" s="16" t="str">
        <x:v>22 µF ±20% X7R/X5R</x:v>
      </x:c>
      <x:c r="C32" s="16" t="str">
        <x:v>규격 동등품</x:v>
      </x:c>
      <x:c r="D32" s="16" t="str">
        <x:v>미선정</x:v>
      </x:c>
      <x:c r="E32" s="16" t="str">
        <x:v>유효 용량·크기 확인 후 MPN 선정</x:v>
      </x:c>
      <x:c r="F32" s="16" t="str">
        <x:v>확정 후 입력</x:v>
      </x:c>
      <x:c r="G32" s="16" t="str">
        <x:v>https://www.ti.com/lit/ds/symlink/tps63802.pdf</x:v>
      </x:c>
    </x:row>
    <x:row r="33" ht="96" customHeight="1">
      <x:c r="A33" s="3" t="n">
        <x:v>29</x:v>
      </x:c>
      <x:c r="B33" s="3" t="str">
        <x:v>100 nF ±10% X7R</x:v>
      </x:c>
      <x:c r="C33" s="3" t="str">
        <x:v>규격 동등품</x:v>
      </x:c>
      <x:c r="D33" s="3" t="str">
        <x:v>미선정</x:v>
      </x:c>
      <x:c r="E33" s="3" t="str">
        <x:v>수동소자 MPN·JLC 코드 후속 선정</x:v>
      </x:c>
      <x:c r="F33" s="3" t="str">
        <x:v>확정 후 입력</x:v>
      </x:c>
      <x:c r="G33" s="3" t="str">
        <x:v>https://docs.espressif.com/projects/esp-hardware-design-guidelines/en/latest/esp32h2/schematic-checklist.html</x:v>
      </x:c>
    </x:row>
    <x:row r="34" ht="96" customHeight="1">
      <x:c r="A34" s="16" t="n">
        <x:v>30</x:v>
      </x:c>
      <x:c r="B34" s="16" t="str">
        <x:v>1 µF ±20% X7R/X5R</x:v>
      </x:c>
      <x:c r="C34" s="16" t="str">
        <x:v>규격 동등품</x:v>
      </x:c>
      <x:c r="D34" s="16" t="str">
        <x:v>미선정</x:v>
      </x:c>
      <x:c r="E34" s="16" t="str">
        <x:v>수동소자 MPN·JLC 코드 후속 선정</x:v>
      </x:c>
      <x:c r="F34" s="16" t="str">
        <x:v>확정 후 입력</x:v>
      </x:c>
      <x:c r="G34" s="16" t="str">
        <x:v>https://documentation.espressif.com/esp32-h2-mini-1_mini-1u_datasheet_en.html</x:v>
      </x:c>
    </x:row>
    <x:row r="35" ht="96" customHeight="1">
      <x:c r="A35" s="3" t="n">
        <x:v>31</x:v>
      </x:c>
      <x:c r="B35" s="3" t="str">
        <x:v>0 Ω</x:v>
      </x:c>
      <x:c r="C35" s="3" t="str">
        <x:v>규격 동등품</x:v>
      </x:c>
      <x:c r="D35" s="3" t="str">
        <x:v>미선정</x:v>
      </x:c>
      <x:c r="E35" s="3" t="str">
        <x:v>수동소자 MPN·JLC 코드 후속 선정</x:v>
      </x:c>
      <x:c r="F35" s="3" t="str">
        <x:v>확정 후 입력</x:v>
      </x:c>
      <x:c r="G35" s="3" t="str">
        <x:v>https://www.ti.com/lit/ds/symlink/tps63802.pdf</x:v>
      </x:c>
    </x:row>
    <x:row r="36" ht="96" customHeight="1">
      <x:c r="A36" s="16" t="n">
        <x:v>32</x:v>
      </x:c>
      <x:c r="B36" s="16" t="str">
        <x:v>저항·커패시터 값 미정 / DNP</x:v>
      </x:c>
      <x:c r="C36" s="16" t="str">
        <x:v>미선정</x:v>
      </x:c>
      <x:c r="D36" s="16" t="str">
        <x:v>미선정</x:v>
      </x:c>
      <x:c r="E36" s="16" t="str">
        <x:v>회로 검토 후 결정</x:v>
      </x:c>
      <x:c r="F36" s="16" t="str">
        <x:v>확정 후 입력</x:v>
      </x:c>
      <x:c r="G36" s="16" t="str">
        <x:v>https://docs.espressif.com/projects/esp-hardware-design-guidelines/en/latest/esp32h2/schematic-checklist.html</x:v>
      </x:c>
    </x:row>
    <x:row r="37" ht="96" customHeight="1">
      <x:c r="A37" s="3" t="n">
        <x:v>33</x:v>
      </x:c>
      <x:c r="B37" s="3" t="str">
        <x:v>가시 LED + 저항 / DNP</x:v>
      </x:c>
      <x:c r="C37" s="3" t="str">
        <x:v>미선정</x:v>
      </x:c>
      <x:c r="D37" s="3" t="str">
        <x:v>미선정</x:v>
      </x:c>
      <x:c r="E37" s="3" t="str">
        <x:v>필요 시 선정</x:v>
      </x:c>
      <x:c r="F37" s="3" t="str">
        <x:v>확정 후 입력</x:v>
      </x:c>
      <x:c r="G37" s="3" t="str">
        <x:v>https://docs.espressif.com/projects/esp-hardware-design-guidelines/en/latest/esp32h2/schematic-checklist.html</x:v>
      </x:c>
    </x:row>
  </x:sheetData>
  <x:pageMargins left="0.7" right="0.7" top="0.75" bottom="0.75" header="0.3" footer="0.3"/>
  <x:tableParts count="1">
    <x:tablePart xmlns:r="http://schemas.openxmlformats.org/officeDocument/2006/relationships" r:id="Rb32b8d63863b46a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5" hidden="0" customWidth="1"/>
    <x:col min="2" max="2" width="70" hidden="0" customWidth="1"/>
    <x:col min="3" max="3" width="105" hidden="0" customWidth="1"/>
  </x:cols>
  <x:sheetData>
    <x:row r="1" ht="30" customHeight="1">
      <x:c r="A1" s="5" t="str">
        <x:v>설계 조건과 제조 전 확인사항</x:v>
      </x:c>
      <x:c r="B1" s="3"/>
      <x:c r="C1" s="3"/>
    </x:row>
    <x:row r="2" ht="24" customHeight="1">
      <x:c r="A2" s="7" t="str">
        <x:v>PCB·배터리 후속 단계 문서. 기존 USB SuperMini 실험을 대체하거나 완료로 처리하지 않습니다.</x:v>
      </x:c>
      <x:c r="B2" s="3"/>
      <x:c r="C2" s="3"/>
    </x:row>
    <x:row r="3">
      <x:c r="A3" s="3"/>
      <x:c r="B3" s="3"/>
      <x:c r="C3" s="3"/>
    </x:row>
    <x:row r="4" ht="30" customHeight="1">
      <x:c r="A4" s="13" t="str">
        <x:v>항목</x:v>
      </x:c>
      <x:c r="B4" s="14" t="str">
        <x:v>이번 BOM 기준</x:v>
      </x:c>
      <x:c r="C4" s="15" t="str">
        <x:v>추가 확인 / 주의</x:v>
      </x:c>
    </x:row>
    <x:row r="5" ht="66" customHeight="1">
      <x:c r="A5" s="3" t="str">
        <x:v>범위</x:v>
      </x:c>
      <x:c r="B5" s="3" t="str">
        <x:v>2026-09-18 Rev A, 새 AA·USB PCB 설계용 후보 BOM</x:v>
      </x:c>
      <x:c r="C5" s="3" t="str">
        <x:v>기존 SuperMini 배선·펌웨어·Pi는 변경하지 않음. 제조·구매 주문용 확정 BOM 아님.</x:v>
      </x:c>
    </x:row>
    <x:row r="6" ht="66" customHeight="1">
      <x:c r="A6" s="16" t="str">
        <x:v>기본 구성</x:v>
      </x:c>
      <x:c r="B6" s="16" t="str">
        <x:v>LR6 알카라인 AA 2개 직렬 + USB-C 5 V</x:v>
      </x:c>
      <x:c r="C6" s="16" t="str">
        <x:v>배터리 충전 회로 없음. 14500/리튬이온 셀은 이 설계 대상 아님.</x:v>
      </x:c>
    </x:row>
    <x:row r="7" ht="66" customHeight="1">
      <x:c r="A7" s="3" t="str">
        <x:v>전원 경로</x:v>
      </x:c>
      <x:c r="B7" s="3" t="str">
        <x:v>USB·보호된 AA → TPS2116 → TPS63802 → 3.3 V</x:v>
      </x:c>
      <x:c r="C7" s="3" t="str">
        <x:v>USB 우선. H2와 IR LED 모두 3.3 V. USB 5 V를 H2에 직접 연결하지 않음.</x:v>
      </x:c>
    </x:row>
    <x:row r="8" ht="66" customHeight="1">
      <x:c r="A8" s="16" t="str">
        <x:v>설계 전원 예산</x:v>
      </x:c>
      <x:c r="B8" s="16" t="str">
        <x:v>3.3 V 출력 0.5 A급 부하 과도응답을 검토</x:v>
      </x:c>
      <x:c r="C8" s="16" t="str">
        <x:v>부품의 2 A 표기는 AA에서 2 A를 계속 쓴다는 뜻이 아님. 2.0 V 입력·배터리 내부저항 포함 측정 필요.</x:v>
      </x:c>
    </x:row>
    <x:row r="9" ht="66" customHeight="1">
      <x:c r="A9" s="3" t="str">
        <x:v>동작 하한</x:v>
      </x:c>
      <x:c r="B9" s="3" t="str">
        <x:v>AA 팩 부하 전압 2.0 V를 초기 시험 하한으로 가정</x:v>
      </x:c>
      <x:c r="C9" s="3" t="str">
        <x:v>U3의 1.3 V 동작 하한만 보고 완전 방전까지 쓰지 않음. 시동 &gt;1.8 V, U2 ≥1.6 V 및 경로 손실 고려.</x:v>
      </x:c>
    </x:row>
    <x:row r="10" ht="66" customHeight="1">
      <x:c r="A10" s="16" t="str">
        <x:v>저전압 차단</x:v>
      </x:c>
      <x:c r="B10" s="16" t="str">
        <x:v>독립적인 저전압 차단 부품은 아직 선정하지 않음</x:v>
      </x:c>
      <x:c r="C10" s="16" t="str">
        <x:v>장기 무인 사용 전 컷오프 회로·배터리 감지 설계 필요. 단순 MCU 저전압 경고만으로 완전 차단을 보장하지 않음.</x:v>
      </x:c>
    </x:row>
    <x:row r="11" ht="66" customHeight="1">
      <x:c r="A11" s="3" t="str">
        <x:v>IR 전류</x:v>
      </x:c>
      <x:c r="B11" s="3" t="str">
        <x:v>33 Ω은 3.3 V에서 약 60 mA 시작값</x:v>
      </x:c>
      <x:c r="C11" s="3" t="str">
        <x:v>LED Vf=1.35 V 가정 계산. 실제 Vf·전원 오차·MOSFET 전압강하·온도로 바뀜. 거리·출력 미검증.</x:v>
      </x:c>
    </x:row>
    <x:row r="12" ht="66" customHeight="1">
      <x:c r="A12" s="16" t="str">
        <x:v>IR 주파수</x:v>
      </x:c>
      <x:c r="B12" s="16" t="str">
        <x:v>38 kHz·약 1/3 duty 후보</x:v>
      </x:c>
      <x:c r="C12" s="16" t="str">
        <x:v>카메라 점멸만으로 주파수·프로토콜·실제 에어컨 제어 성공을 판정하지 않음.</x:v>
      </x:c>
    </x:row>
    <x:row r="13" ht="66" customHeight="1">
      <x:c r="A13" s="3" t="str">
        <x:v>GPIO</x:v>
      </x:c>
      <x:c r="B13" s="3" t="str">
        <x:v>기존 SuperMini 시험은 GPIO8; 새 PCB IR 핀은 미정</x:v>
      </x:c>
      <x:c r="C13" s="3" t="str">
        <x:v>다운로드 조건 때문에 GPIO8/9를 IR 출력과 겸용하지 않는 방향. GPIO4 등 비스트랩 핀을 회로 단계에서 검토.</x:v>
      </x:c>
    </x:row>
    <x:row r="14" ht="66" customHeight="1">
      <x:c r="A14" s="16" t="str">
        <x:v>USB</x:v>
      </x:c>
      <x:c r="B14" s="16" t="str">
        <x:v>네이티브 USB Serial/JTAG 사용; CH340/CP2102 제외</x:v>
      </x:c>
      <x:c r="C14" s="16" t="str">
        <x:v>CC 저항 2개·데이터선·ESD·BOOT·RESET 필요. USB 전원 허용 전류·열거 전 소비전류와 VBUS 인러시 검증.</x:v>
      </x:c>
    </x:row>
    <x:row r="15" ht="66" customHeight="1">
      <x:c r="A15" s="3" t="str">
        <x:v>보호 검증</x:v>
      </x:c>
      <x:c r="B15" s="3" t="str">
        <x:v>PPTC는 단락 보호 후보, 전자식 전류 제한·OVP가 아님</x:v>
      </x:c>
      <x:c r="C15" s="3" t="str">
        <x:v>USB/AA 동시·단독·역극성·핫플러그 시험 필요. 선택한 보호 소자의 정격·온도·응답시간 검토.</x:v>
      </x:c>
    </x:row>
    <x:row r="16" ht="66" customHeight="1">
      <x:c r="A16" s="16" t="str">
        <x:v>Zigbee 절전</x:v>
      </x:c>
      <x:c r="B16" s="16" t="str">
        <x:v>Sleepy End Device + 주기적 부모 폴링</x:v>
      </x:c>
      <x:c r="C16" s="16" t="str">
        <x:v>무선 신호가 오면 즉시 깨는 구조 아님. 응답시간·폴링 주기·부모 메시지 보관시간을 함께 검증.</x:v>
      </x:c>
    </x:row>
    <x:row r="17" ht="66" customHeight="1">
      <x:c r="A17" s="3" t="str">
        <x:v>배터리 수명</x:v>
      </x:c>
      <x:c r="B17" s="3" t="str">
        <x:v>6~12개월 보장하지 않음</x:v>
      </x:c>
      <x:c r="C17" s="3" t="str">
        <x:v>H2 수면·폴링, DC-DC 경부하 손실·분압, IR 송신, 셀 특성을 포함해 배터리 입력에서 전류 적산.</x:v>
      </x:c>
    </x:row>
    <x:row r="18" ht="66" customHeight="1">
      <x:c r="A18" s="16" t="str">
        <x:v>저항·커패시터</x:v>
      </x:c>
      <x:c r="B18" s="16" t="str">
        <x:v>값은 제시했으나 제조사 MPN·주문 코드는 미확정</x:v>
      </x:c>
      <x:c r="C18" s="16" t="str">
        <x:v>MLCC는 표시값이 아니라 DC bias 후 유효 용량 확인. 임의 동등품 자동 치환 금지.</x:v>
      </x:c>
    </x:row>
    <x:row r="19" ht="66" customHeight="1">
      <x:c r="A19" s="3" t="str">
        <x:v>조립 비용</x:v>
      </x:c>
      <x:c r="B19" s="3" t="str">
        <x:v>H2 모듈 때문에 Standard PCBA + X-ray</x:v>
      </x:c>
      <x:c r="C19" s="3" t="str">
        <x:v>IR LED와 홀더는 직접 납땜 후보. Extended 부품비·실장·지그·PCB·배송·세금 포함 견적 별도.</x:v>
      </x:c>
    </x:row>
    <x:row r="20" ht="66" customHeight="1">
      <x:c r="A20" s="16" t="str">
        <x:v>BOM 수량</x:v>
      </x:c>
      <x:c r="B20" s="16" t="str">
        <x:v>기본 노드 1대 기준 / 제작 대수로 총수량 계산</x:v>
      </x:c>
      <x:c r="C20" s="16" t="str">
        <x:v>JLC 생산 손실분·MOQ·여분은 별도. DNP 항목은 기본 수량 0. 회로기호는 임시.</x:v>
      </x:c>
    </x:row>
    <x:row r="21" ht="66" customHeight="1">
      <x:c r="A21" s="3" t="str">
        <x:v>미포함</x:v>
      </x:c>
      <x:c r="B21" s="3" t="str">
        <x:v>PCB, 케이스, USB 케이블, 공구, 배터리 충전기</x:v>
      </x:c>
      <x:c r="C21" s="3" t="str">
        <x:v>Pi와 ZBDongle-P는 기존 장비 사용. 별도 IR 수신기는 이 송신 노드 기본 BOM에 없음.</x:v>
      </x:c>
    </x:row>
    <x:row r="22" ht="66" customHeight="1">
      <x:c r="A22" s="16" t="str">
        <x:v>제조 전</x:v>
      </x:c>
      <x:c r="B22" s="16" t="str">
        <x:v>회로도·ERC·풋프린트·DRC·CPL·조달 확인 필요</x:v>
      </x:c>
      <x:c r="C22" s="16" t="str">
        <x:v>현재는 계산·자료 검토만 수행. 실제 부품 조립·전류·송신거리·배터리 수명은 검증하지 않음.</x:v>
      </x:c>
    </x:row>
  </x:sheetData>
  <x:pageMargins left="0.7" right="0.7" top="0.75" bottom="0.75" header="0.3" footer="0.3"/>
</x:worksheet>
</file>